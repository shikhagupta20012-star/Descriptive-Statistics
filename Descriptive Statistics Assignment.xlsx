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9f33fb8ff1edad/Documents/"/>
    </mc:Choice>
  </mc:AlternateContent>
  <xr:revisionPtr revIDLastSave="1" documentId="8_{8B17F832-5084-4AF2-BF12-F2C70FF405D6}" xr6:coauthVersionLast="47" xr6:coauthVersionMax="47" xr10:uidLastSave="{C31CA2E2-4914-4E27-8F67-8F52BAD77395}"/>
  <bookViews>
    <workbookView xWindow="-108" yWindow="-108" windowWidth="23256" windowHeight="12456" activeTab="6" xr2:uid="{BEED307A-07B8-4EAB-9BAB-A46BF6E6E498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0" l="1"/>
  <c r="C22" i="10" a="1"/>
  <c r="C22" i="10" s="1"/>
  <c r="C20" i="10"/>
  <c r="C18" i="10"/>
  <c r="C16" i="10"/>
  <c r="D16" i="9"/>
  <c r="C14" i="9"/>
  <c r="C13" i="6" a="1"/>
  <c r="C13" i="6"/>
  <c r="C13" i="5" a="1"/>
  <c r="C13" i="5" s="1"/>
  <c r="C13" i="4"/>
  <c r="C16" i="3"/>
  <c r="D15" i="2"/>
  <c r="F13" i="1"/>
  <c r="F11" i="1"/>
  <c r="F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<sst xmlns="http://schemas.openxmlformats.org/spreadsheetml/2006/main" count="141" uniqueCount="99">
  <si>
    <t>Q1: Understanding Central Tendency (Easy)</t>
  </si>
  <si>
    <t>A bakery tracks the daily sales of muffins (in dozens) over a week: [10, 12, 11, 15, 14, 13, 12].</t>
  </si>
  <si>
    <t>What is the most representative value of their weekly sales, and why?</t>
  </si>
  <si>
    <t xml:space="preserve">Solution: </t>
  </si>
  <si>
    <t>Days</t>
  </si>
  <si>
    <t>Sales of Muffins</t>
  </si>
  <si>
    <t>Sun</t>
  </si>
  <si>
    <t>Mon</t>
  </si>
  <si>
    <t>Tue</t>
  </si>
  <si>
    <t>Wed</t>
  </si>
  <si>
    <t>Thur</t>
  </si>
  <si>
    <t>Fri</t>
  </si>
  <si>
    <t>Sat</t>
  </si>
  <si>
    <t xml:space="preserve">Mean = </t>
  </si>
  <si>
    <t>Median =</t>
  </si>
  <si>
    <t>Mode =</t>
  </si>
  <si>
    <t>Q2: Mean in Real Life (Easy)</t>
  </si>
  <si>
    <t>A teacher records the marks of her students in a short quiz: [12, 15, 14, 16, 18, 20, 19].</t>
  </si>
  <si>
    <t>What is the mean score, and what does it tell us about the class’s performance?</t>
  </si>
  <si>
    <t>Solution:</t>
  </si>
  <si>
    <t>Score</t>
  </si>
  <si>
    <t>Students</t>
  </si>
  <si>
    <t>A</t>
  </si>
  <si>
    <t>B</t>
  </si>
  <si>
    <t>C</t>
  </si>
  <si>
    <t>D</t>
  </si>
  <si>
    <t>E</t>
  </si>
  <si>
    <t>F</t>
  </si>
  <si>
    <t>G</t>
  </si>
  <si>
    <t>Mean=</t>
  </si>
  <si>
    <t>Class Performance =</t>
  </si>
  <si>
    <t xml:space="preserve">Good </t>
  </si>
  <si>
    <t>Q3: Mode in Real Life (Easy).</t>
  </si>
  <si>
    <t>A store records the shoe sizes sold in one day: [7, 8, 9, 8, 8, 10, 7, 9].</t>
  </si>
  <si>
    <t>What is the mode, and why is this information useful for the store manager?</t>
  </si>
  <si>
    <t>Shoes</t>
  </si>
  <si>
    <t>Size</t>
  </si>
  <si>
    <t>H</t>
  </si>
  <si>
    <t>Mode=</t>
  </si>
  <si>
    <t>The mode helps the store identify the most demanded shoe size, allowing better inventory planning and reducing shortages.</t>
  </si>
  <si>
    <r>
      <t xml:space="preserve">The mean quiz score is about </t>
    </r>
    <r>
      <rPr>
        <b/>
        <sz val="11"/>
        <color theme="1"/>
        <rFont val="Calisto MT"/>
        <family val="1"/>
      </rPr>
      <t>16.29 marks</t>
    </r>
    <r>
      <rPr>
        <sz val="11"/>
        <color theme="1"/>
        <rFont val="Calisto MT"/>
        <family val="1"/>
      </rPr>
      <t>. This indicates that the overall performance of the class was fairly good and most students scored around this value.</t>
    </r>
  </si>
  <si>
    <t>Q4: Median in Real Life (Medium)</t>
  </si>
  <si>
    <t>A car dealer notes the prices of used cars: [$8,000, $9,500, $10,200, $11,000, $50,000].</t>
  </si>
  <si>
    <t>Why is the median a better measure than the mean in this case? Calculate the median.</t>
  </si>
  <si>
    <t>Cars</t>
  </si>
  <si>
    <t>Prices</t>
  </si>
  <si>
    <t>Median=</t>
  </si>
  <si>
    <t>The mean would be pulled upward by the extreme value ($50,000). The median gives a more realistic estimate of typical used car prices because it is not affected by outliers.</t>
  </si>
  <si>
    <t>Q5: Dispersion Introduction (Medium)</t>
  </si>
  <si>
    <t>What does the range tell us about the variation in the student’s puzzle-solving time?</t>
  </si>
  <si>
    <t>A student times how long it takes to finish a puzzle each day: [25, 30, 27, 35, 40].</t>
  </si>
  <si>
    <t>Times</t>
  </si>
  <si>
    <t>Range=</t>
  </si>
  <si>
    <t>This shows that the student’s puzzle-solving times vary within a 15-minute window, indicating moderate variation in performance.</t>
  </si>
  <si>
    <t>Interpretation:</t>
  </si>
  <si>
    <t>Q6: Range in Action (Medium)</t>
  </si>
  <si>
    <t>A farmer records the weekly weight of harvested apples (kg): [100, 105, 98, 110, 120].</t>
  </si>
  <si>
    <t>Find the range. How can this help the farmer in planning his packaging?</t>
  </si>
  <si>
    <t>Weekly</t>
  </si>
  <si>
    <t>Range =</t>
  </si>
  <si>
    <t>Weight Kg</t>
  </si>
  <si>
    <t>Usefulness:</t>
  </si>
  <si>
    <t>The farmer can use this information to plan packaging sizes and predict variability in weight to reduce waste and optimize packing boxes.</t>
  </si>
  <si>
    <t>Q7: Variance for Decision-Making (Medium)</t>
  </si>
  <si>
    <t>Two delivery companies track delivery delays (in minutes).</t>
  </si>
  <si>
    <t>Which company is more consistent, and why?</t>
  </si>
  <si>
    <t xml:space="preserve">     Company A: variance = 6</t>
  </si>
  <si>
    <t xml:space="preserve">     Company B: variance = 15</t>
  </si>
  <si>
    <r>
      <t xml:space="preserve">Since variance measures spread, </t>
    </r>
    <r>
      <rPr>
        <b/>
        <sz val="11"/>
        <color theme="1"/>
        <rFont val="Calisto MT"/>
        <family val="1"/>
      </rPr>
      <t>Company A is more consistent</t>
    </r>
    <r>
      <rPr>
        <sz val="11"/>
        <color theme="1"/>
        <rFont val="Calisto MT"/>
        <family val="1"/>
      </rPr>
      <t xml:space="preserve"> because it has lower variance and less fluctuation in delivery times.</t>
    </r>
  </si>
  <si>
    <t>Q8: Standard Deviation in Context (Hard)</t>
  </si>
  <si>
    <t>A finance student compares the daily price fluctuations of two cryptocurrencies</t>
  </si>
  <si>
    <t>Coin A: standard deviation = $30</t>
  </si>
  <si>
    <t>Coin B: standard deviation = $120</t>
  </si>
  <si>
    <t>Which coin is riskier to invest in, and why?</t>
  </si>
  <si>
    <r>
      <t xml:space="preserve">Coin B is </t>
    </r>
    <r>
      <rPr>
        <b/>
        <sz val="11"/>
        <color theme="1"/>
        <rFont val="Calisto MT"/>
        <family val="1"/>
      </rPr>
      <t>riskier</t>
    </r>
    <r>
      <rPr>
        <sz val="11"/>
        <color theme="1"/>
        <rFont val="Calisto MT"/>
        <family val="1"/>
      </rPr>
      <t xml:space="preserve"> because higher standard deviation means larger price fluctuations, leading to higher investment uncertainty.</t>
    </r>
  </si>
  <si>
    <t>Q9: Combining Measures (Hard)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</si>
  <si>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</si>
  <si>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</si>
  <si>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>Months</t>
  </si>
  <si>
    <t>Electricity Usage</t>
  </si>
  <si>
    <t>Mean =</t>
  </si>
  <si>
    <t>Standard Deviation =</t>
  </si>
  <si>
    <r>
      <t xml:space="preserve">The family uses on average </t>
    </r>
    <r>
      <rPr>
        <b/>
        <sz val="11"/>
        <color theme="1"/>
        <rFont val="Calisto MT"/>
        <family val="1"/>
      </rPr>
      <t>414 kWh per month</t>
    </r>
    <r>
      <rPr>
        <sz val="11"/>
        <color theme="1"/>
        <rFont val="Calisto MT"/>
        <family val="1"/>
      </rPr>
      <t xml:space="preserve"> with a standard deviation of </t>
    </r>
    <r>
      <rPr>
        <b/>
        <sz val="11"/>
        <color theme="1"/>
        <rFont val="Calisto MT"/>
        <family val="1"/>
      </rPr>
      <t>~20.6 kWh</t>
    </r>
    <r>
      <rPr>
        <sz val="11"/>
        <color theme="1"/>
        <rFont val="Calisto MT"/>
        <family val="1"/>
      </rPr>
      <t>, showing mild variation and fairly consistent energy usage across months.</t>
    </r>
  </si>
  <si>
    <t>Q10: Practical Application (Hard)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</si>
  <si>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</si>
  <si>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</si>
  <si>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Games</t>
  </si>
  <si>
    <t>Scoring</t>
  </si>
  <si>
    <t>1st</t>
  </si>
  <si>
    <t>2nd</t>
  </si>
  <si>
    <t>3rd</t>
  </si>
  <si>
    <t>4th</t>
  </si>
  <si>
    <t>5th</t>
  </si>
  <si>
    <t>6th</t>
  </si>
  <si>
    <t>7th</t>
  </si>
  <si>
    <t>8th</t>
  </si>
  <si>
    <t>No Mode</t>
  </si>
  <si>
    <t>Insight:</t>
  </si>
  <si>
    <r>
      <t xml:space="preserve">The player scores around </t>
    </r>
    <r>
      <rPr>
        <b/>
        <sz val="11"/>
        <color theme="1"/>
        <rFont val="Calisto MT"/>
        <family val="1"/>
      </rPr>
      <t>19–20 points per game</t>
    </r>
    <r>
      <rPr>
        <sz val="11"/>
        <color theme="1"/>
        <rFont val="Calisto MT"/>
        <family val="1"/>
      </rPr>
      <t xml:space="preserve"> with low variation, indicating consistent scoring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</si>
</sst>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8" formatCode="&quot;₹&quot;\ #,##0.00"/>
    <numFmt numFmtId="170" formatCode="_-[$$-409]* #,##0.00_ ;_-[$$-409]* \-#,##0.00\ ;_-[$$-409]* &quot;-&quot;??_ ;_-@_ "/>
    <numFmt numFmtId="173" formatCode="_-[$$-409]* #,##0_ ;_-[$$-409]* \-#,##0\ ;_-[$$-409]* &quot;-&quot;??_ ;_-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sto MT"/>
      <family val="1"/>
    </font>
    <font>
      <sz val="12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3" borderId="0" xfId="0" applyFill="1"/>
    <xf numFmtId="0" fontId="2" fillId="3" borderId="0" xfId="0" applyFont="1" applyFill="1"/>
    <xf numFmtId="0" fontId="3" fillId="3" borderId="0" xfId="0" applyFont="1" applyFill="1"/>
    <xf numFmtId="0" fontId="3" fillId="4" borderId="1" xfId="0" applyFont="1" applyFill="1" applyBorder="1" applyAlignment="1">
      <alignment horizontal="center"/>
    </xf>
    <xf numFmtId="0" fontId="4" fillId="5" borderId="0" xfId="0" applyFont="1" applyFill="1"/>
    <xf numFmtId="0" fontId="4" fillId="0" borderId="0" xfId="0" applyFont="1"/>
    <xf numFmtId="0" fontId="4" fillId="2" borderId="0" xfId="0" applyFont="1" applyFill="1"/>
    <xf numFmtId="0" fontId="4" fillId="4" borderId="0" xfId="0" applyFont="1" applyFill="1"/>
    <xf numFmtId="0" fontId="0" fillId="3" borderId="0" xfId="0" applyFont="1" applyFill="1"/>
    <xf numFmtId="0" fontId="2" fillId="0" borderId="1" xfId="0" applyFont="1" applyBorder="1"/>
    <xf numFmtId="0" fontId="5" fillId="0" borderId="0" xfId="0" applyFont="1"/>
    <xf numFmtId="0" fontId="5" fillId="4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/>
    <xf numFmtId="0" fontId="5" fillId="2" borderId="0" xfId="0" applyFont="1" applyFill="1"/>
    <xf numFmtId="0" fontId="5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70" fontId="2" fillId="0" borderId="0" xfId="1" applyNumberFormat="1" applyFont="1"/>
    <xf numFmtId="173" fontId="2" fillId="0" borderId="1" xfId="0" applyNumberFormat="1" applyFont="1" applyBorder="1" applyAlignment="1">
      <alignment horizontal="center" vertical="center"/>
    </xf>
    <xf numFmtId="168" fontId="5" fillId="4" borderId="1" xfId="0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9F63-4523-414F-8BFD-8776D8263160}">
  <dimension ref="A2:P19"/>
  <sheetViews>
    <sheetView workbookViewId="0">
      <selection activeCell="F9" sqref="F9"/>
    </sheetView>
  </sheetViews>
  <sheetFormatPr defaultRowHeight="15.6" x14ac:dyDescent="0.3"/>
  <cols>
    <col min="1" max="1" width="10" style="2" customWidth="1"/>
    <col min="2" max="2" width="9.88671875" style="2" customWidth="1"/>
    <col min="3" max="3" width="8.88671875" style="2"/>
    <col min="4" max="4" width="16" style="2" customWidth="1"/>
    <col min="5" max="16384" width="8.88671875" style="2"/>
  </cols>
  <sheetData>
    <row r="2" spans="1:16" x14ac:dyDescent="0.3">
      <c r="A2" s="10" t="s">
        <v>0</v>
      </c>
      <c r="B2" s="10"/>
      <c r="C2" s="10"/>
      <c r="D2" s="10"/>
    </row>
    <row r="3" spans="1:16" x14ac:dyDescent="0.3">
      <c r="B3" s="4" t="s">
        <v>1</v>
      </c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</row>
    <row r="4" spans="1:16" x14ac:dyDescent="0.3">
      <c r="B4" s="4" t="s">
        <v>2</v>
      </c>
      <c r="C4" s="5"/>
      <c r="D4" s="5"/>
      <c r="E4" s="5"/>
      <c r="F4" s="5"/>
      <c r="G4" s="5"/>
      <c r="H4" s="6"/>
    </row>
    <row r="6" spans="1:16" x14ac:dyDescent="0.3">
      <c r="A6" s="11" t="s">
        <v>3</v>
      </c>
      <c r="C6" s="7" t="s">
        <v>4</v>
      </c>
      <c r="D6" s="7" t="s">
        <v>5</v>
      </c>
    </row>
    <row r="7" spans="1:16" x14ac:dyDescent="0.3">
      <c r="C7" s="3" t="s">
        <v>6</v>
      </c>
      <c r="D7" s="3">
        <v>10</v>
      </c>
    </row>
    <row r="8" spans="1:16" x14ac:dyDescent="0.3">
      <c r="C8" s="3" t="s">
        <v>7</v>
      </c>
      <c r="D8" s="3">
        <v>12</v>
      </c>
    </row>
    <row r="9" spans="1:16" x14ac:dyDescent="0.3">
      <c r="C9" s="3" t="s">
        <v>8</v>
      </c>
      <c r="D9" s="3">
        <v>11</v>
      </c>
      <c r="F9" s="8">
        <f>AVERAGE(D7:D13)</f>
        <v>12.428571428571429</v>
      </c>
    </row>
    <row r="10" spans="1:16" x14ac:dyDescent="0.3">
      <c r="C10" s="3" t="s">
        <v>9</v>
      </c>
      <c r="D10" s="3">
        <v>15</v>
      </c>
      <c r="F10" s="9"/>
    </row>
    <row r="11" spans="1:16" x14ac:dyDescent="0.3">
      <c r="C11" s="3" t="s">
        <v>10</v>
      </c>
      <c r="D11" s="3">
        <v>14</v>
      </c>
      <c r="F11" s="8">
        <f>MEDIAN(D7:D13)</f>
        <v>12</v>
      </c>
    </row>
    <row r="12" spans="1:16" x14ac:dyDescent="0.3">
      <c r="C12" s="3" t="s">
        <v>11</v>
      </c>
      <c r="D12" s="3">
        <v>13</v>
      </c>
      <c r="F12" s="9"/>
    </row>
    <row r="13" spans="1:16" x14ac:dyDescent="0.3">
      <c r="C13" s="3" t="s">
        <v>12</v>
      </c>
      <c r="D13" s="3">
        <v>12</v>
      </c>
      <c r="F13" s="8">
        <f>_xlfn.MODE.SNGL(D7:D13)</f>
        <v>12</v>
      </c>
    </row>
    <row r="15" spans="1:16" x14ac:dyDescent="0.3">
      <c r="B15" s="9" t="s">
        <v>13</v>
      </c>
      <c r="C15" s="2">
        <v>12.428599999999999</v>
      </c>
    </row>
    <row r="17" spans="2:3" x14ac:dyDescent="0.3">
      <c r="B17" s="9" t="s">
        <v>14</v>
      </c>
      <c r="C17" s="2">
        <v>12</v>
      </c>
    </row>
    <row r="18" spans="2:3" x14ac:dyDescent="0.3">
      <c r="B18" s="9"/>
    </row>
    <row r="19" spans="2:3" x14ac:dyDescent="0.3">
      <c r="B19" s="9" t="s">
        <v>15</v>
      </c>
      <c r="C19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A547-C064-40D6-AA0C-C6F7AE70D94D}">
  <dimension ref="A2:P19"/>
  <sheetViews>
    <sheetView workbookViewId="0">
      <selection activeCell="G16" sqref="G16"/>
    </sheetView>
  </sheetViews>
  <sheetFormatPr defaultRowHeight="14.4" x14ac:dyDescent="0.3"/>
  <cols>
    <col min="3" max="3" width="9.6640625" customWidth="1"/>
    <col min="6" max="6" width="20.5546875" customWidth="1"/>
  </cols>
  <sheetData>
    <row r="2" spans="1:10" ht="15.6" x14ac:dyDescent="0.3">
      <c r="A2" s="10" t="s">
        <v>16</v>
      </c>
      <c r="B2" s="10"/>
      <c r="C2" s="10"/>
      <c r="D2" s="10"/>
      <c r="E2" s="2"/>
      <c r="F2" s="2"/>
      <c r="G2" s="2"/>
      <c r="H2" s="2"/>
    </row>
    <row r="3" spans="1:10" ht="15.6" x14ac:dyDescent="0.3">
      <c r="A3" s="2"/>
      <c r="B3" s="5" t="s">
        <v>17</v>
      </c>
      <c r="C3" s="5"/>
      <c r="D3" s="5"/>
      <c r="E3" s="5"/>
      <c r="F3" s="5"/>
      <c r="G3" s="5"/>
      <c r="H3" s="5"/>
      <c r="I3" s="12"/>
      <c r="J3" s="12"/>
    </row>
    <row r="4" spans="1:10" ht="15.6" x14ac:dyDescent="0.3">
      <c r="A4" s="2"/>
      <c r="B4" s="5" t="s">
        <v>18</v>
      </c>
      <c r="C4" s="5"/>
      <c r="D4" s="5"/>
      <c r="E4" s="5"/>
      <c r="F4" s="5"/>
      <c r="G4" s="5"/>
      <c r="H4" s="5"/>
      <c r="I4" s="12"/>
      <c r="J4" s="12"/>
    </row>
    <row r="6" spans="1:10" x14ac:dyDescent="0.3">
      <c r="A6" s="15" t="s">
        <v>19</v>
      </c>
      <c r="B6" s="1"/>
      <c r="C6" s="17" t="s">
        <v>21</v>
      </c>
      <c r="D6" s="23" t="s">
        <v>20</v>
      </c>
      <c r="E6" s="21"/>
      <c r="F6" s="21"/>
    </row>
    <row r="7" spans="1:10" x14ac:dyDescent="0.3">
      <c r="A7" s="1"/>
      <c r="B7" s="1"/>
      <c r="C7" s="18" t="s">
        <v>22</v>
      </c>
      <c r="D7" s="24">
        <v>12</v>
      </c>
      <c r="E7" s="22"/>
      <c r="F7" s="22"/>
    </row>
    <row r="8" spans="1:10" x14ac:dyDescent="0.3">
      <c r="A8" s="1"/>
      <c r="B8" s="1"/>
      <c r="C8" s="18" t="s">
        <v>23</v>
      </c>
      <c r="D8" s="24">
        <v>15</v>
      </c>
      <c r="E8" s="22"/>
      <c r="F8" s="22"/>
    </row>
    <row r="9" spans="1:10" x14ac:dyDescent="0.3">
      <c r="A9" s="1"/>
      <c r="B9" s="1"/>
      <c r="C9" s="18" t="s">
        <v>24</v>
      </c>
      <c r="D9" s="24">
        <v>14</v>
      </c>
      <c r="E9" s="22"/>
      <c r="F9" s="22"/>
    </row>
    <row r="10" spans="1:10" x14ac:dyDescent="0.3">
      <c r="A10" s="1"/>
      <c r="B10" s="1"/>
      <c r="C10" s="18" t="s">
        <v>25</v>
      </c>
      <c r="D10" s="24">
        <v>16</v>
      </c>
      <c r="E10" s="22"/>
      <c r="F10" s="22"/>
    </row>
    <row r="11" spans="1:10" x14ac:dyDescent="0.3">
      <c r="A11" s="1"/>
      <c r="B11" s="1"/>
      <c r="C11" s="18" t="s">
        <v>26</v>
      </c>
      <c r="D11" s="24">
        <v>18</v>
      </c>
      <c r="E11" s="22"/>
      <c r="F11" s="22"/>
    </row>
    <row r="12" spans="1:10" x14ac:dyDescent="0.3">
      <c r="A12" s="1"/>
      <c r="B12" s="1"/>
      <c r="C12" s="18" t="s">
        <v>27</v>
      </c>
      <c r="D12" s="24">
        <v>20</v>
      </c>
      <c r="E12" s="22"/>
      <c r="F12" s="22"/>
    </row>
    <row r="13" spans="1:10" x14ac:dyDescent="0.3">
      <c r="A13" s="1"/>
      <c r="B13" s="1"/>
      <c r="C13" s="18" t="s">
        <v>28</v>
      </c>
      <c r="D13" s="24">
        <v>19</v>
      </c>
      <c r="E13" s="22"/>
      <c r="F13" s="22"/>
    </row>
    <row r="14" spans="1:10" x14ac:dyDescent="0.3">
      <c r="A14" s="1"/>
      <c r="B14" s="1"/>
      <c r="C14" s="1"/>
      <c r="D14" s="1"/>
      <c r="E14" s="1"/>
      <c r="F14" s="1"/>
    </row>
    <row r="15" spans="1:10" x14ac:dyDescent="0.3">
      <c r="A15" s="1"/>
      <c r="B15" s="1"/>
      <c r="C15" s="14" t="s">
        <v>29</v>
      </c>
      <c r="D15" s="1">
        <f>AVERAGE(D7:D13)</f>
        <v>16.285714285714285</v>
      </c>
      <c r="E15" s="1"/>
      <c r="F15" s="1"/>
    </row>
    <row r="17" spans="3:16" x14ac:dyDescent="0.3">
      <c r="C17" s="14" t="s">
        <v>30</v>
      </c>
      <c r="D17" s="14"/>
      <c r="E17" t="s">
        <v>31</v>
      </c>
    </row>
    <row r="19" spans="3:16" x14ac:dyDescent="0.3">
      <c r="C19" s="1" t="s">
        <v>40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AB5E-5A6B-40B2-9379-05D3AC65E11C}">
  <dimension ref="A2:L19"/>
  <sheetViews>
    <sheetView workbookViewId="0">
      <selection activeCell="C16" sqref="C16"/>
    </sheetView>
  </sheetViews>
  <sheetFormatPr defaultRowHeight="14.4" x14ac:dyDescent="0.3"/>
  <sheetData>
    <row r="2" spans="1:12" ht="15.6" x14ac:dyDescent="0.3">
      <c r="A2" s="10" t="s">
        <v>32</v>
      </c>
      <c r="B2" s="10"/>
      <c r="C2" s="10"/>
      <c r="D2" s="20"/>
      <c r="E2" s="1"/>
      <c r="F2" s="1"/>
      <c r="G2" s="1"/>
      <c r="H2" s="1"/>
      <c r="I2" s="1"/>
      <c r="J2" s="1"/>
      <c r="K2" s="1"/>
      <c r="L2" s="1"/>
    </row>
    <row r="3" spans="1:12" x14ac:dyDescent="0.3">
      <c r="A3" s="1"/>
      <c r="B3" s="5" t="s">
        <v>33</v>
      </c>
      <c r="C3" s="5"/>
      <c r="D3" s="5"/>
      <c r="E3" s="5"/>
      <c r="F3" s="5"/>
      <c r="G3" s="5"/>
      <c r="H3" s="5"/>
      <c r="I3" s="5"/>
      <c r="J3" s="1"/>
      <c r="K3" s="1"/>
      <c r="L3" s="1"/>
    </row>
    <row r="4" spans="1:12" x14ac:dyDescent="0.3">
      <c r="A4" s="1"/>
      <c r="B4" s="5" t="s">
        <v>34</v>
      </c>
      <c r="C4" s="5"/>
      <c r="D4" s="5"/>
      <c r="E4" s="5"/>
      <c r="F4" s="5"/>
      <c r="G4" s="5"/>
      <c r="H4" s="5"/>
      <c r="I4" s="5"/>
      <c r="J4" s="1"/>
      <c r="K4" s="1"/>
      <c r="L4" s="1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A6" s="15" t="s">
        <v>19</v>
      </c>
      <c r="B6" s="1"/>
      <c r="C6" s="17" t="s">
        <v>35</v>
      </c>
      <c r="D6" s="17" t="s">
        <v>36</v>
      </c>
      <c r="E6" s="1"/>
      <c r="F6" s="1"/>
      <c r="G6" s="1"/>
      <c r="H6" s="1"/>
      <c r="I6" s="1"/>
      <c r="J6" s="1"/>
      <c r="K6" s="1"/>
      <c r="L6" s="1"/>
    </row>
    <row r="7" spans="1:12" x14ac:dyDescent="0.3">
      <c r="A7" s="1"/>
      <c r="B7" s="1"/>
      <c r="C7" s="18" t="s">
        <v>22</v>
      </c>
      <c r="D7" s="18">
        <v>7</v>
      </c>
      <c r="E7" s="1"/>
      <c r="F7" s="1"/>
      <c r="G7" s="1"/>
      <c r="H7" s="1"/>
      <c r="I7" s="1"/>
      <c r="J7" s="1"/>
      <c r="K7" s="1"/>
      <c r="L7" s="1"/>
    </row>
    <row r="8" spans="1:12" x14ac:dyDescent="0.3">
      <c r="A8" s="1"/>
      <c r="B8" s="1"/>
      <c r="C8" s="18" t="s">
        <v>23</v>
      </c>
      <c r="D8" s="18">
        <v>8</v>
      </c>
      <c r="E8" s="1"/>
      <c r="F8" s="1"/>
      <c r="G8" s="1"/>
      <c r="H8" s="1"/>
      <c r="I8" s="1"/>
      <c r="J8" s="1"/>
      <c r="K8" s="1"/>
      <c r="L8" s="1"/>
    </row>
    <row r="9" spans="1:12" x14ac:dyDescent="0.3">
      <c r="A9" s="1"/>
      <c r="B9" s="1"/>
      <c r="C9" s="18" t="s">
        <v>24</v>
      </c>
      <c r="D9" s="18">
        <v>9</v>
      </c>
      <c r="E9" s="1"/>
      <c r="F9" s="1"/>
      <c r="G9" s="1"/>
      <c r="H9" s="1"/>
      <c r="I9" s="1"/>
      <c r="J9" s="1"/>
      <c r="K9" s="1"/>
      <c r="L9" s="1"/>
    </row>
    <row r="10" spans="1:12" x14ac:dyDescent="0.3">
      <c r="A10" s="1"/>
      <c r="B10" s="1"/>
      <c r="C10" s="18" t="s">
        <v>25</v>
      </c>
      <c r="D10" s="18">
        <v>8</v>
      </c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1"/>
      <c r="B11" s="1"/>
      <c r="C11" s="18" t="s">
        <v>26</v>
      </c>
      <c r="D11" s="18">
        <v>8</v>
      </c>
      <c r="E11" s="1"/>
      <c r="F11" s="1"/>
      <c r="G11" s="1"/>
      <c r="H11" s="1"/>
      <c r="I11" s="1"/>
      <c r="J11" s="1"/>
      <c r="K11" s="1"/>
      <c r="L11" s="1"/>
    </row>
    <row r="12" spans="1:12" x14ac:dyDescent="0.3">
      <c r="A12" s="1"/>
      <c r="B12" s="1"/>
      <c r="C12" s="18" t="s">
        <v>27</v>
      </c>
      <c r="D12" s="18">
        <v>10</v>
      </c>
      <c r="E12" s="1"/>
      <c r="F12" s="1"/>
      <c r="G12" s="1"/>
      <c r="H12" s="1"/>
      <c r="I12" s="1"/>
      <c r="J12" s="1"/>
      <c r="K12" s="1"/>
      <c r="L12" s="1"/>
    </row>
    <row r="13" spans="1:12" x14ac:dyDescent="0.3">
      <c r="A13" s="1"/>
      <c r="B13" s="1"/>
      <c r="C13" s="18" t="s">
        <v>28</v>
      </c>
      <c r="D13" s="18">
        <v>7</v>
      </c>
      <c r="E13" s="1"/>
      <c r="F13" s="1"/>
      <c r="G13" s="1"/>
      <c r="H13" s="1"/>
      <c r="I13" s="1"/>
      <c r="J13" s="1"/>
      <c r="K13" s="1"/>
      <c r="L13" s="1"/>
    </row>
    <row r="14" spans="1:12" x14ac:dyDescent="0.3">
      <c r="A14" s="1"/>
      <c r="B14" s="1"/>
      <c r="C14" s="18" t="s">
        <v>37</v>
      </c>
      <c r="D14" s="18">
        <v>9</v>
      </c>
      <c r="E14" s="1"/>
      <c r="F14" s="1"/>
      <c r="G14" s="1"/>
      <c r="H14" s="1"/>
      <c r="I14" s="1"/>
      <c r="J14" s="1"/>
      <c r="K14" s="1"/>
      <c r="L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A16" s="1"/>
      <c r="B16" s="14" t="s">
        <v>38</v>
      </c>
      <c r="C16" s="1">
        <f>_xlfn.MODE.SNGL(D7:D14)</f>
        <v>8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1"/>
      <c r="B18" s="1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E8FF-1E3D-4C16-A431-C94CBA83DDDC}">
  <dimension ref="A2:Q15"/>
  <sheetViews>
    <sheetView workbookViewId="0">
      <selection activeCell="D4" sqref="D4"/>
    </sheetView>
  </sheetViews>
  <sheetFormatPr defaultRowHeight="14.4" x14ac:dyDescent="0.3"/>
  <cols>
    <col min="3" max="3" width="11" customWidth="1"/>
    <col min="4" max="4" width="12.109375" bestFit="1" customWidth="1"/>
  </cols>
  <sheetData>
    <row r="2" spans="1:17" ht="15.6" x14ac:dyDescent="0.3">
      <c r="A2" s="10" t="s">
        <v>41</v>
      </c>
      <c r="B2" s="10"/>
      <c r="C2" s="10"/>
      <c r="D2" s="1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1"/>
      <c r="B3" s="5" t="s">
        <v>42</v>
      </c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</row>
    <row r="4" spans="1:17" x14ac:dyDescent="0.3">
      <c r="A4" s="1"/>
      <c r="B4" s="5" t="s">
        <v>43</v>
      </c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15" t="s">
        <v>19</v>
      </c>
      <c r="B6" s="1"/>
      <c r="C6" s="17" t="s">
        <v>44</v>
      </c>
      <c r="D6" s="27" t="s">
        <v>45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1"/>
      <c r="B7" s="1"/>
      <c r="C7" s="18" t="s">
        <v>22</v>
      </c>
      <c r="D7" s="26">
        <v>8000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1"/>
      <c r="B8" s="1"/>
      <c r="C8" s="18" t="s">
        <v>23</v>
      </c>
      <c r="D8" s="26">
        <v>9500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1"/>
      <c r="B9" s="1"/>
      <c r="C9" s="18" t="s">
        <v>24</v>
      </c>
      <c r="D9" s="26">
        <v>10200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1"/>
      <c r="B10" s="1"/>
      <c r="C10" s="18" t="s">
        <v>25</v>
      </c>
      <c r="D10" s="26">
        <v>11000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"/>
      <c r="C11" s="18" t="s">
        <v>26</v>
      </c>
      <c r="D11" s="26">
        <v>50000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4" t="s">
        <v>46</v>
      </c>
      <c r="C13" s="25">
        <f>MEDIAN(D7:D11)</f>
        <v>10200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 t="s">
        <v>47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A871-C016-451E-B58A-881D73DF79A5}">
  <dimension ref="A2:N20"/>
  <sheetViews>
    <sheetView workbookViewId="0">
      <selection activeCell="C13" sqref="C13"/>
    </sheetView>
  </sheetViews>
  <sheetFormatPr defaultRowHeight="14.4" x14ac:dyDescent="0.3"/>
  <sheetData>
    <row r="2" spans="1:14" ht="15.6" x14ac:dyDescent="0.3">
      <c r="A2" s="10" t="s">
        <v>48</v>
      </c>
      <c r="B2" s="10"/>
      <c r="C2" s="10"/>
      <c r="D2" s="10"/>
      <c r="E2" s="19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5" t="s">
        <v>50</v>
      </c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</row>
    <row r="4" spans="1:14" x14ac:dyDescent="0.3">
      <c r="A4" s="1"/>
      <c r="B4" s="5" t="s">
        <v>49</v>
      </c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</row>
    <row r="5" spans="1:1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s="15" t="s">
        <v>19</v>
      </c>
      <c r="B6" s="1"/>
      <c r="C6" s="17" t="s">
        <v>21</v>
      </c>
      <c r="D6" s="17" t="s">
        <v>51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8" t="s">
        <v>22</v>
      </c>
      <c r="D7" s="18">
        <v>25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"/>
      <c r="B8" s="1"/>
      <c r="C8" s="18" t="s">
        <v>23</v>
      </c>
      <c r="D8" s="18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8" t="s">
        <v>24</v>
      </c>
      <c r="D9" s="18">
        <v>27</v>
      </c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8" t="s">
        <v>25</v>
      </c>
      <c r="D10" s="18">
        <v>35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A11" s="1"/>
      <c r="B11" s="1"/>
      <c r="C11" s="18" t="s">
        <v>26</v>
      </c>
      <c r="D11" s="18">
        <v>40</v>
      </c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3">
      <c r="A13" s="1"/>
      <c r="B13" s="14" t="s">
        <v>52</v>
      </c>
      <c r="C13" s="1" cm="1">
        <f t="array" ref="C13">MAX(D7:D11-MIN(D7:D11))</f>
        <v>15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4" t="s">
        <v>54</v>
      </c>
      <c r="C16" s="1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 t="s">
        <v>53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0E45-6FD7-47FC-BD8B-D50E823C788F}">
  <dimension ref="A2:O17"/>
  <sheetViews>
    <sheetView workbookViewId="0">
      <selection activeCell="C13" sqref="C13"/>
    </sheetView>
  </sheetViews>
  <sheetFormatPr defaultRowHeight="14.4" x14ac:dyDescent="0.3"/>
  <cols>
    <col min="4" max="4" width="11.77734375" customWidth="1"/>
  </cols>
  <sheetData>
    <row r="2" spans="1:15" ht="15.6" x14ac:dyDescent="0.3">
      <c r="A2" s="10" t="s">
        <v>55</v>
      </c>
      <c r="B2" s="10"/>
      <c r="C2" s="10"/>
      <c r="D2" s="10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/>
      <c r="B3" s="5" t="s">
        <v>56</v>
      </c>
      <c r="C3" s="5"/>
      <c r="D3" s="5"/>
      <c r="E3" s="5"/>
      <c r="F3" s="5"/>
      <c r="G3" s="5"/>
      <c r="H3" s="5"/>
      <c r="I3" s="5"/>
      <c r="J3" s="5"/>
      <c r="K3" s="1"/>
      <c r="L3" s="1"/>
      <c r="M3" s="1"/>
      <c r="N3" s="1"/>
      <c r="O3" s="1"/>
    </row>
    <row r="4" spans="1:15" x14ac:dyDescent="0.3">
      <c r="A4" s="1"/>
      <c r="B4" s="5" t="s">
        <v>57</v>
      </c>
      <c r="C4" s="5"/>
      <c r="D4" s="5"/>
      <c r="E4" s="5"/>
      <c r="F4" s="5"/>
      <c r="G4" s="5"/>
      <c r="H4" s="5"/>
      <c r="I4" s="5"/>
      <c r="J4" s="5"/>
      <c r="K4" s="1"/>
      <c r="L4" s="1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5" t="s">
        <v>19</v>
      </c>
      <c r="B6" s="1"/>
      <c r="C6" s="16" t="s">
        <v>58</v>
      </c>
      <c r="D6" s="16" t="s">
        <v>60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3" t="s">
        <v>22</v>
      </c>
      <c r="D7" s="13">
        <v>100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3" t="s">
        <v>23</v>
      </c>
      <c r="D8" s="13">
        <v>105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3" t="s">
        <v>24</v>
      </c>
      <c r="D9" s="13">
        <v>98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3" t="s">
        <v>25</v>
      </c>
      <c r="D10" s="13">
        <v>110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3" t="s">
        <v>26</v>
      </c>
      <c r="D11" s="13">
        <v>120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4" t="s">
        <v>59</v>
      </c>
      <c r="C13" s="1" cm="1">
        <f t="array" ref="C13">MAX(D7:D11-MIN(D7:D11))</f>
        <v>22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4" t="s">
        <v>61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 t="s">
        <v>62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D331-8628-4186-8697-3DB4710E878C}">
  <dimension ref="A2:N8"/>
  <sheetViews>
    <sheetView tabSelected="1" workbookViewId="0">
      <selection activeCell="C13" sqref="C13"/>
    </sheetView>
  </sheetViews>
  <sheetFormatPr defaultRowHeight="14.4" x14ac:dyDescent="0.3"/>
  <sheetData>
    <row r="2" spans="1:14" ht="15.6" x14ac:dyDescent="0.3">
      <c r="A2" s="10" t="s">
        <v>63</v>
      </c>
      <c r="B2" s="10"/>
      <c r="C2" s="10"/>
      <c r="D2" s="10"/>
      <c r="E2" s="10"/>
      <c r="F2" s="19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5" t="s">
        <v>64</v>
      </c>
      <c r="C3" s="5"/>
      <c r="D3" s="5"/>
      <c r="E3" s="5"/>
      <c r="F3" s="5"/>
      <c r="G3" s="5"/>
      <c r="H3" s="1"/>
      <c r="I3" s="1"/>
      <c r="J3" s="1"/>
      <c r="K3" s="1"/>
      <c r="L3" s="1"/>
      <c r="M3" s="1"/>
      <c r="N3" s="1"/>
    </row>
    <row r="4" spans="1:14" x14ac:dyDescent="0.3">
      <c r="A4" s="1"/>
      <c r="B4" s="5" t="s">
        <v>66</v>
      </c>
      <c r="C4" s="5"/>
      <c r="D4" s="5"/>
      <c r="E4" s="5"/>
      <c r="F4" s="5"/>
      <c r="G4" s="5"/>
      <c r="H4" s="1"/>
      <c r="I4" s="1"/>
      <c r="J4" s="1"/>
      <c r="K4" s="1"/>
      <c r="L4" s="1"/>
      <c r="M4" s="1"/>
      <c r="N4" s="1"/>
    </row>
    <row r="5" spans="1:14" x14ac:dyDescent="0.3">
      <c r="A5" s="1"/>
      <c r="B5" s="5" t="s">
        <v>67</v>
      </c>
      <c r="C5" s="5"/>
      <c r="D5" s="5"/>
      <c r="E5" s="5"/>
      <c r="F5" s="5"/>
      <c r="G5" s="5"/>
      <c r="H5" s="1"/>
      <c r="I5" s="1"/>
      <c r="J5" s="1"/>
      <c r="K5" s="1"/>
      <c r="L5" s="1"/>
      <c r="M5" s="1"/>
      <c r="N5" s="1"/>
    </row>
    <row r="6" spans="1:14" x14ac:dyDescent="0.3">
      <c r="A6" s="1"/>
      <c r="B6" s="5" t="s">
        <v>65</v>
      </c>
      <c r="C6" s="5"/>
      <c r="D6" s="5"/>
      <c r="E6" s="5"/>
      <c r="F6" s="5"/>
      <c r="G6" s="5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5" t="s">
        <v>19</v>
      </c>
      <c r="B8" s="1"/>
      <c r="C8" s="1" t="s">
        <v>68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AB40-0DFB-4B83-9641-BE7DDF7C34EB}">
  <dimension ref="A2:N9"/>
  <sheetViews>
    <sheetView workbookViewId="0">
      <selection activeCell="D12" sqref="D12"/>
    </sheetView>
  </sheetViews>
  <sheetFormatPr defaultRowHeight="14.4" x14ac:dyDescent="0.3"/>
  <sheetData>
    <row r="2" spans="1:14" ht="15.6" x14ac:dyDescent="0.3">
      <c r="A2" s="10" t="s">
        <v>69</v>
      </c>
      <c r="B2" s="10"/>
      <c r="C2" s="10"/>
      <c r="D2" s="10"/>
      <c r="E2" s="10"/>
      <c r="F2" s="1"/>
      <c r="G2" s="1"/>
      <c r="H2" s="1"/>
      <c r="I2" s="1"/>
      <c r="J2" s="1"/>
      <c r="K2" s="1"/>
      <c r="L2" s="1"/>
      <c r="M2" s="1"/>
      <c r="N2" s="1"/>
    </row>
    <row r="3" spans="1:14" x14ac:dyDescent="0.3">
      <c r="A3" s="1"/>
      <c r="B3" s="5" t="s">
        <v>70</v>
      </c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</row>
    <row r="4" spans="1:14" x14ac:dyDescent="0.3">
      <c r="A4" s="1"/>
      <c r="B4" s="5"/>
      <c r="C4" s="5" t="s">
        <v>71</v>
      </c>
      <c r="D4" s="5"/>
      <c r="E4" s="5"/>
      <c r="F4" s="5"/>
      <c r="G4" s="5"/>
      <c r="H4" s="5"/>
      <c r="I4" s="5"/>
      <c r="J4" s="1"/>
      <c r="K4" s="1"/>
      <c r="L4" s="1"/>
      <c r="M4" s="1"/>
      <c r="N4" s="1"/>
    </row>
    <row r="5" spans="1:14" x14ac:dyDescent="0.3">
      <c r="A5" s="1"/>
      <c r="B5" s="5"/>
      <c r="C5" s="5" t="s">
        <v>72</v>
      </c>
      <c r="D5" s="5"/>
      <c r="E5" s="5"/>
      <c r="F5" s="5"/>
      <c r="G5" s="5"/>
      <c r="H5" s="5"/>
      <c r="I5" s="5"/>
      <c r="J5" s="1"/>
      <c r="K5" s="1"/>
      <c r="L5" s="1"/>
      <c r="M5" s="1"/>
      <c r="N5" s="1"/>
    </row>
    <row r="6" spans="1:14" x14ac:dyDescent="0.3">
      <c r="A6" s="1"/>
      <c r="B6" s="5" t="s">
        <v>73</v>
      </c>
      <c r="C6" s="5"/>
      <c r="D6" s="5"/>
      <c r="E6" s="5"/>
      <c r="F6" s="5"/>
      <c r="G6" s="5"/>
      <c r="H6" s="5"/>
      <c r="I6" s="5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15" t="s">
        <v>19</v>
      </c>
      <c r="B8" s="1"/>
      <c r="C8" s="1" t="s">
        <v>74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CA0A-DDBE-4D9B-A545-7697971F0718}">
  <dimension ref="A2:O20"/>
  <sheetViews>
    <sheetView workbookViewId="0">
      <selection activeCell="D16" sqref="D16"/>
    </sheetView>
  </sheetViews>
  <sheetFormatPr defaultRowHeight="14.4" x14ac:dyDescent="0.3"/>
  <cols>
    <col min="3" max="3" width="12.44140625" customWidth="1"/>
    <col min="4" max="4" width="18.77734375" customWidth="1"/>
  </cols>
  <sheetData>
    <row r="2" spans="1:15" ht="15.6" x14ac:dyDescent="0.3">
      <c r="A2" s="10" t="s">
        <v>75</v>
      </c>
      <c r="B2" s="10"/>
      <c r="C2" s="10"/>
      <c r="D2" s="10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/>
      <c r="B3" s="5" t="s">
        <v>76</v>
      </c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</row>
    <row r="4" spans="1:15" x14ac:dyDescent="0.3">
      <c r="A4" s="1"/>
      <c r="B4" s="5" t="s">
        <v>77</v>
      </c>
      <c r="C4" s="5"/>
      <c r="D4" s="5"/>
      <c r="E4" s="5"/>
      <c r="F4" s="5"/>
      <c r="G4" s="5"/>
      <c r="H4" s="5"/>
      <c r="I4" s="5"/>
      <c r="J4" s="5"/>
      <c r="K4" s="5"/>
      <c r="L4" s="5"/>
      <c r="M4" s="1"/>
      <c r="N4" s="1"/>
      <c r="O4" s="1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5" t="s">
        <v>19</v>
      </c>
      <c r="B7" s="1"/>
      <c r="C7" s="17" t="s">
        <v>78</v>
      </c>
      <c r="D7" s="17" t="s">
        <v>79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8" t="s">
        <v>22</v>
      </c>
      <c r="D8" s="18">
        <v>400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8" t="s">
        <v>23</v>
      </c>
      <c r="D9" s="18">
        <v>420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8" t="s">
        <v>24</v>
      </c>
      <c r="D10" s="18">
        <v>390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8" t="s">
        <v>25</v>
      </c>
      <c r="D11" s="18">
        <v>450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8" t="s">
        <v>26</v>
      </c>
      <c r="D12" s="18">
        <v>410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4" t="s">
        <v>80</v>
      </c>
      <c r="C14" s="1">
        <f>AVERAGE(D8:D12)</f>
        <v>414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4" t="s">
        <v>81</v>
      </c>
      <c r="C16" s="14"/>
      <c r="D16" s="1">
        <f>_xlfn.STDEV.P(D8:D12)</f>
        <v>20.591260281974002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4" t="s">
        <v>54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 t="s">
        <v>82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71EFF-CDD6-4F37-8869-DF287D2A4D3B}">
  <dimension ref="A2:O27"/>
  <sheetViews>
    <sheetView topLeftCell="A13" workbookViewId="0">
      <selection activeCell="D24" sqref="D24"/>
    </sheetView>
  </sheetViews>
  <sheetFormatPr defaultRowHeight="14.4" x14ac:dyDescent="0.3"/>
  <cols>
    <col min="3" max="3" width="12.33203125" customWidth="1"/>
    <col min="4" max="4" width="9.77734375" customWidth="1"/>
  </cols>
  <sheetData>
    <row r="2" spans="1:15" ht="15.6" x14ac:dyDescent="0.3">
      <c r="A2" s="10" t="s">
        <v>83</v>
      </c>
      <c r="B2" s="10"/>
      <c r="C2" s="10"/>
      <c r="D2" s="10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/>
      <c r="B3" s="5" t="s">
        <v>84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1"/>
      <c r="B4" s="5" t="s">
        <v>85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5" t="s">
        <v>19</v>
      </c>
      <c r="B6" s="1"/>
      <c r="C6" s="16" t="s">
        <v>86</v>
      </c>
      <c r="D6" s="16" t="s">
        <v>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3" t="s">
        <v>88</v>
      </c>
      <c r="D7" s="13">
        <v>15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3" t="s">
        <v>89</v>
      </c>
      <c r="D8" s="13">
        <v>18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3" t="s">
        <v>90</v>
      </c>
      <c r="D9" s="13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3" t="s">
        <v>91</v>
      </c>
      <c r="D10" s="13">
        <v>22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3" t="s">
        <v>92</v>
      </c>
      <c r="D11" s="13">
        <v>25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3" t="s">
        <v>93</v>
      </c>
      <c r="D12" s="13">
        <v>17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3" t="s">
        <v>94</v>
      </c>
      <c r="D13" s="13">
        <v>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3" t="s">
        <v>95</v>
      </c>
      <c r="D14" s="13">
        <v>21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4" t="s">
        <v>80</v>
      </c>
      <c r="C16" s="1">
        <f>AVERAGE(D7:D14)</f>
        <v>19.625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4" t="s">
        <v>15</v>
      </c>
      <c r="C18" s="1" t="e">
        <f>_xlfn.MODE.SNGL(D7:D14)</f>
        <v>#N/A</v>
      </c>
      <c r="D18" s="1" t="s">
        <v>96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4" t="s">
        <v>14</v>
      </c>
      <c r="C20" s="1">
        <f>MEDIAN(D7:D14)</f>
        <v>19.5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4" t="s">
        <v>59</v>
      </c>
      <c r="C22" s="1" cm="1">
        <f t="array" ref="C22">MAX(D7:D14-MIN(D7:D14))</f>
        <v>10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4" t="s">
        <v>81</v>
      </c>
      <c r="C24" s="1"/>
      <c r="D24" s="1">
        <f>_xlfn.STDEV.P(D7:D14)</f>
        <v>2.912795049432761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4" t="s">
        <v>97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 t="s">
        <v>98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Gupta</dc:creator>
  <cp:lastModifiedBy>Shalu Gupta</cp:lastModifiedBy>
  <dcterms:created xsi:type="dcterms:W3CDTF">2026-01-15T04:53:01Z</dcterms:created>
  <dcterms:modified xsi:type="dcterms:W3CDTF">2026-01-15T07:03:23Z</dcterms:modified>
</cp:coreProperties>
</file>